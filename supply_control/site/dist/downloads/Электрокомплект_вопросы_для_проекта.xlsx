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df43c6476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зюме" sheetId="1" r:id="R5b114ff8e99449d1"/>
    <x:sheet xmlns:r="http://schemas.openxmlformats.org/officeDocument/2006/relationships" name="Вопросы" sheetId="2" r:id="R363d88ab1577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3">
    <x:font>
      <x:sz val="11"/>
      <x:name val="Carlito"/>
    </x:font>
    <x:font>
      <x:b/>
      <x:sz val="16"/>
      <x:color rgb="FF0B4366"/>
      <x:name val="Arial"/>
    </x:font>
    <x:font>
      <x:i/>
      <x:sz val="10"/>
      <x:color rgb="FF687782"/>
      <x:name val="Arial"/>
    </x:font>
    <x:font>
      <x:b/>
      <x:sz val="10"/>
      <x:color rgb="FFFFFFFF"/>
      <x:name val="Arial"/>
    </x:font>
    <x:font>
      <x:sz val="10"/>
      <x:color rgb="FF24333B"/>
      <x:name val="Arial"/>
    </x:font>
    <x:font>
      <x:b/>
      <x:sz val="11"/>
      <x:color rgb="FF0B4366"/>
      <x:name val="Arial"/>
    </x:font>
    <x:font>
      <x:b/>
      <x:sz val="10"/>
      <x:color rgb="FF0B4366"/>
      <x:name val="Arial"/>
    </x:font>
    <x:font>
      <x:b/>
      <x:sz val="10"/>
      <x:color rgb="FF2C7294"/>
      <x:name val="Arial"/>
    </x:font>
    <x:font>
      <x:b/>
      <x:sz val="10"/>
      <x:color rgb="FF24333B"/>
      <x:name val="Arial"/>
    </x:font>
    <x:font>
      <x:sz val="9"/>
      <x:color rgb="FF24333B"/>
      <x:name val="Arial"/>
    </x:font>
    <x:font>
      <x:sz val="11"/>
      <x:name val="Arial"/>
    </x:font>
    <x:font>
      <x:b/>
      <x:sz val="15"/>
      <x:color rgb="FF0B4366"/>
      <x:name val="Arial"/>
    </x:font>
    <x:font>
      <x:b/>
      <x:sz val="9"/>
      <x:color rgb="FF2C729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4366"/>
      </x:patternFill>
    </x:fill>
    <x:fill>
      <x:patternFill patternType="solid">
        <x:fgColor rgb="FFEAF3F7"/>
      </x:patternFill>
    </x:fill>
    <x:fill>
      <x:patternFill patternType="solid">
        <x:fgColor rgb="FFFFF1BF"/>
      </x:patternFill>
    </x:fill>
    <x:fill>
      <x:patternFill patternType="solid">
        <x:fgColor rgb="FFF3F5F6"/>
      </x:patternFill>
    </x:fill>
  </x:fills>
  <x:borders count="7">
    <x:border/>
    <x:border>
      <x:bottom style="thin">
        <x:color rgb="FFD7E1E6"/>
      </x:bottom>
    </x:border>
    <x:border>
      <x:top style="thin">
        <x:color rgb="FFD7E1E6"/>
      </x:top>
      <x:bottom style="thin">
        <x:color rgb="FFD7E1E6"/>
      </x:bottom>
    </x:border>
    <x:border>
      <x:top style="thin">
        <x:color rgb="FFD7E1E6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9" fillId="4" borderId="2" xfId="0" applyNumberFormat="1" applyFont="1" applyFill="1" applyBorder="1" applyAlignment="1">
      <x:alignment vertical="top" wrapText="1"/>
    </x:xf>
    <x:xf numFmtId="0" fontId="9" fillId="4" borderId="3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0" borderId="2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42D2D"/>
      </x:font>
      <x:fill>
        <x:patternFill patternType="solid">
          <x:bgColor rgb="FFFDECEC"/>
        </x:patternFill>
      </x:fill>
    </x:dxf>
    <x:dxf>
      <x:font>
        <x:b/>
        <x:color rgb="FFA42D2D"/>
      </x:font>
      <x:fill>
        <x:patternFill patternType="solid">
          <x:bgColor rgb="FFFDECEC"/>
        </x:patternFill>
      </x:fill>
    </x:dxf>
    <x:dxf>
      <x:font>
        <x:b/>
        <x:color rgb="FF176545"/>
      </x:font>
      <x:fill>
        <x:patternFill patternType="solid">
          <x:bgColor rgb="FFE8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ed7395364431a" /><Relationship Type="http://schemas.openxmlformats.org/officeDocument/2006/relationships/theme" Target="/xl/theme/theme1.xml" Id="R0cc5e7ee3c0c4310" /><Relationship Type="http://schemas.openxmlformats.org/officeDocument/2006/relationships/sharedStrings" Target="/xl/sharedStrings.xml" Id="R1161e341ef36461b" /><Relationship Type="http://schemas.openxmlformats.org/officeDocument/2006/relationships/worksheet" Target="/xl/worksheets/sheet1.xml" Id="R5b114ff8e99449d1" /><Relationship Type="http://schemas.openxmlformats.org/officeDocument/2006/relationships/worksheet" Target="/xl/worksheets/sheet2.xml" Id="R363d88ab15774303" /></Relationships>
</file>

<file path=xl/tables/table1.xml><?xml version="1.0" encoding="utf-8"?>
<x:table xmlns:x="http://schemas.openxmlformats.org/spreadsheetml/2006/main" id="1" name="PartnerQuestions" displayName="PartnerQuestions" ref="A5:N26" headerRowCount="1" totalsRowCount="0" totalsRowShown="0">
  <x:tableColumns count="14">
    <x:tableColumn id="1" name="ID"/>
    <x:tableColumn id="2" name="Блок"/>
    <x:tableColumn id="3" name="Приоритет"/>
    <x:tableColumn id="4" name="Вопрос партнеру"/>
    <x:tableColumn id="5" name="Формат ответа"/>
    <x:tableColumn id="6" name="Допустимые значения"/>
    <x:tableColumn id="7" name="Наш текущий ответ"/>
    <x:tableColumn id="8" name="Статус нашего ответа"/>
    <x:tableColumn id="9" name="Основание"/>
    <x:tableColumn id="10" name="Ответ партнера"/>
    <x:tableColumn id="11" name="Комментарий или источник партнера"/>
    <x:tableColumn id="12" name="Что изменится в проекте"/>
    <x:tableColumn id="13" name="Ключ параметра"/>
    <x:tableColumn id="14" name="Обязательн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b5816223b747b6" /></Relationships>
</file>

<file path=xl/worksheets/sheet1.xml><?xml version="1.0" encoding="utf-8"?>
<x:worksheet xmlns:x="http://schemas.openxmlformats.org/spreadsheetml/2006/main">
  <x:sheetPr>
    <x:tabColor rgb="FF0B4366"/>
  </x:sheetPr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2" ht="25" customHeight="1">
      <x:c r="A2" s="2" t="str">
        <x:v>Вопросы для ТОО Электрокомплект</x:v>
      </x:c>
      <x:c r="B2" s="31"/>
      <x:c r="C2" s="31"/>
      <x:c r="D2" s="31"/>
      <x:c r="E2" s="31"/>
      <x:c r="F2" s="31"/>
    </x:row>
    <x:row r="3" ht="25" customHeight="1">
      <x:c r="A3" s="3" t="str">
        <x:v>Ответы обновляют параметры расчёта заказа, но не отправляют заказ поставщику.</x:v>
      </x:c>
      <x:c r="B3" s="31"/>
      <x:c r="C3" s="31"/>
      <x:c r="D3" s="31"/>
      <x:c r="E3" s="31"/>
      <x:c r="F3" s="31"/>
    </x:row>
    <x:row r="4">
      <x:c r="A4" s="32"/>
      <x:c r="B4" s="32"/>
      <x:c r="C4" s="32"/>
      <x:c r="D4" s="32"/>
      <x:c r="E4" s="32"/>
      <x:c r="F4" s="32"/>
    </x:row>
    <x:row r="5">
      <x:c r="A5" s="31"/>
      <x:c r="B5" s="31"/>
      <x:c r="C5" s="31"/>
      <x:c r="D5" s="31"/>
      <x:c r="E5" s="31"/>
      <x:c r="F5" s="31"/>
    </x:row>
    <x:row r="6">
      <x:c r="A6" s="9" t="str">
        <x:v>Показатель</x:v>
      </x:c>
      <x:c r="B6" s="9" t="str">
        <x:v>Значение</x:v>
      </x:c>
      <x:c r="C6" s="31"/>
      <x:c r="D6" s="31"/>
      <x:c r="E6" s="31"/>
      <x:c r="F6" s="31"/>
    </x:row>
    <x:row r="7">
      <x:c r="A7" s="16" t="str">
        <x:v>Всего вопросов</x:v>
      </x:c>
      <x:c r="B7" s="20" t="n">
        <x:f>COUNTA('Вопросы'!A6:A26)</x:f>
        <x:v>21</x:v>
      </x:c>
      <x:c r="C7" s="31"/>
      <x:c r="D7" s="31"/>
      <x:c r="E7" s="31"/>
      <x:c r="F7" s="31"/>
    </x:row>
    <x:row r="8">
      <x:c r="A8" s="17" t="str">
        <x:v>Заполнено партнёром</x:v>
      </x:c>
      <x:c r="B8" s="21" t="n">
        <x:f>B7-COUNTBLANK('Вопросы'!J6:J26)</x:f>
        <x:v>0</x:v>
      </x:c>
      <x:c r="C8" s="31"/>
      <x:c r="D8" s="31"/>
      <x:c r="E8" s="31"/>
      <x:c r="F8" s="31"/>
    </x:row>
    <x:row r="9">
      <x:c r="A9" s="17" t="str">
        <x:v>Осталось обязательных</x:v>
      </x:c>
      <x:c r="B9" s="21" t="n">
        <x:f>SUMPRODUCT(--('Вопросы'!N6:N26="Да"),--('Вопросы'!J6:J26=""))</x:f>
        <x:v>20</x:v>
      </x:c>
      <x:c r="C9" s="31"/>
      <x:c r="D9" s="31"/>
      <x:c r="E9" s="31"/>
      <x:c r="F9" s="31"/>
    </x:row>
    <x:row r="10">
      <x:c r="A10" s="17" t="str">
        <x:v>Критичных без ответа</x:v>
      </x:c>
      <x:c r="B10" s="21" t="n">
        <x:f>SUMPRODUCT(--('Вопросы'!C6:C26="Критично"),--('Вопросы'!J6:J26=""))</x:f>
        <x:v>13</x:v>
      </x:c>
      <x:c r="C10" s="31"/>
      <x:c r="D10" s="31"/>
      <x:c r="E10" s="31"/>
      <x:c r="F10" s="31"/>
    </x:row>
    <x:row r="11">
      <x:c r="A11" s="18" t="str">
        <x:v>Готовность заполнения</x:v>
      </x:c>
      <x:c r="B11" s="22" t="n">
        <x:f>IF(B7=0,0,B8/B7)</x:f>
        <x:v>0</x:v>
      </x:c>
      <x:c r="C11" s="31"/>
      <x:c r="D11" s="31"/>
      <x:c r="E11" s="31"/>
      <x:c r="F11" s="31"/>
    </x:row>
    <x:row r="12">
      <x:c r="A12" s="31"/>
      <x:c r="B12" s="31"/>
      <x:c r="C12" s="31"/>
      <x:c r="D12" s="31"/>
      <x:c r="E12" s="31"/>
      <x:c r="F12" s="31"/>
    </x:row>
    <x:row r="13">
      <x:c r="A13" s="24" t="str">
        <x:v>Как заполнить</x:v>
      </x:c>
      <x:c r="B13" s="31"/>
      <x:c r="C13" s="31"/>
      <x:c r="D13" s="31"/>
      <x:c r="E13" s="31"/>
      <x:c r="F13" s="31"/>
    </x:row>
    <x:row r="14">
      <x:c r="A14" s="27" t="str">
        <x:v>1</x:v>
      </x:c>
      <x:c r="B14" s="28" t="str">
        <x:v>Перейдите на лист «Вопросы».</x:v>
      </x:c>
      <x:c r="C14" s="28"/>
      <x:c r="D14" s="28"/>
      <x:c r="E14" s="28"/>
      <x:c r="F14" s="28"/>
    </x:row>
    <x:row r="15">
      <x:c r="A15" s="27" t="str">
        <x:v>2</x:v>
      </x:c>
      <x:c r="B15" s="28" t="str">
        <x:v>Заполните только жёлтые колонки «Ответ партнера» и «Комментарий или источник партнера».</x:v>
      </x:c>
      <x:c r="C15" s="28"/>
      <x:c r="D15" s="28"/>
      <x:c r="E15" s="28"/>
      <x:c r="F15" s="28"/>
    </x:row>
    <x:row r="16">
      <x:c r="A16" s="27" t="str">
        <x:v>3</x:v>
      </x:c>
      <x:c r="B16" s="28" t="str">
        <x:v>Не меняйте ID и ключ параметра: они нужны для автоматического импорта.</x:v>
      </x:c>
      <x:c r="C16" s="28"/>
      <x:c r="D16" s="28"/>
      <x:c r="E16" s="28"/>
      <x:c r="F16" s="28"/>
    </x:row>
    <x:row r="17">
      <x:c r="A17" s="27" t="str">
        <x:v>4</x:v>
      </x:c>
      <x:c r="B17" s="28" t="str">
        <x:v>Верните XLSX-файл. Проект проверит ответы, пересчитает рекомендации и покажет, какие параметры изменились.</x:v>
      </x:c>
      <x:c r="C17" s="28"/>
      <x:c r="D17" s="28"/>
      <x:c r="E17" s="28"/>
      <x:c r="F17" s="28"/>
    </x:row>
    <x:row r="18">
      <x:c r="A18" s="31"/>
      <x:c r="B18" s="31"/>
      <x:c r="C18" s="31"/>
      <x:c r="D18" s="31"/>
      <x:c r="E18" s="31"/>
      <x:c r="F18" s="31"/>
    </x:row>
    <x:row r="19">
      <x:c r="A19" s="24" t="str">
        <x:v>Источники наших текущих ответов</x:v>
      </x:c>
      <x:c r="B19" s="31"/>
      <x:c r="C19" s="31"/>
      <x:c r="D19" s="31"/>
      <x:c r="E19" s="31"/>
      <x:c r="F19" s="31"/>
    </x:row>
    <x:row r="20">
      <x:c r="A20" s="30" t="str">
        <x:v>Динамика продаж_Syseme Electric_2025-2026.xlsx</x:v>
      </x:c>
      <x:c r="B20" s="30" t="str">
        <x:v>Документы, единица измерения, склад и отрицательные количества</x:v>
      </x:c>
      <x:c r="C20" s="30"/>
      <x:c r="D20" s="30"/>
      <x:c r="E20" s="30"/>
      <x:c r="F20" s="30"/>
    </x:row>
    <x:row r="21">
      <x:c r="A21" s="30" t="str">
        <x:v>Товар в пути_SystemElectric на 22.09.2026.xlsx</x:v>
      </x:c>
      <x:c r="B21" s="30" t="str">
        <x:v>Остатки, резерв, категории, стоимость, коэффициенты и товар в пути</x:v>
      </x:c>
      <x:c r="C21" s="30"/>
      <x:c r="D21" s="30"/>
      <x:c r="E21" s="30"/>
      <x:c r="F21" s="30"/>
    </x:row>
    <x:row r="22">
      <x:c r="A22" s="30" t="str">
        <x:v>MOQ SystemElectric.xlsx</x:v>
      </x:c>
      <x:c r="B22" s="30" t="str">
        <x:v>Кратность по коду 1С</x:v>
      </x:c>
      <x:c r="C22" s="30"/>
      <x:c r="D22" s="30"/>
      <x:c r="E22" s="30"/>
      <x:c r="F22" s="30"/>
    </x:row>
    <x:row r="23">
      <x:c r="A23" s="30" t="str">
        <x:v>dataset_metrics.json и forecast_baselines_systeme.json</x:v>
      </x:c>
      <x:c r="B23" s="30" t="str">
        <x:v>Сверка источников и проверка прогноза</x:v>
      </x:c>
      <x:c r="C23" s="30"/>
      <x:c r="D23" s="30"/>
      <x:c r="E23" s="30"/>
      <x:c r="F23" s="30"/>
    </x:row>
  </x:sheetData>
  <x:mergeCells>
    <x:mergeCell ref="A2:F2"/>
    <x:mergeCell ref="A3:F3"/>
    <x:mergeCell ref="A13:F13"/>
    <x:mergeCell ref="B14:F14"/>
    <x:mergeCell ref="B15:F15"/>
    <x:mergeCell ref="B16:F16"/>
    <x:mergeCell ref="B17:F17"/>
    <x:mergeCell ref="A19:F19"/>
    <x:mergeCell ref="B20:F20"/>
    <x:mergeCell ref="B21:F21"/>
    <x:mergeCell ref="B22:F22"/>
    <x:mergeCell ref="B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C7294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42" hidden="0" customWidth="1"/>
    <x:col min="5" max="5" width="17" hidden="0" customWidth="1"/>
    <x:col min="6" max="6" width="30" hidden="0" customWidth="1"/>
    <x:col min="7" max="7" width="38" hidden="0" customWidth="1"/>
    <x:col min="8" max="8" width="23" hidden="0" customWidth="1"/>
    <x:col min="9" max="9" width="42" hidden="0" customWidth="1"/>
    <x:col min="10" max="10" width="28" hidden="0" customWidth="1"/>
    <x:col min="11" max="11" width="34" hidden="0" customWidth="1"/>
    <x:col min="12" max="12" width="42" hidden="0" customWidth="1"/>
    <x:col min="13" max="13" width="32" hidden="0" customWidth="1"/>
    <x:col min="14" max="14" width="13" hidden="0" customWidth="1"/>
  </x:cols>
  <x:sheetData>
    <x:row r="2">
      <x:c r="A2" s="33" t="str">
        <x:v>Параметры, которые должен подтвердить партнёр</x:v>
      </x:c>
    </x:row>
    <x:row r="3">
      <x:c r="A3" s="3" t="str">
        <x:v>Заполните колонку «Ответ партнера» и при необходимости добавьте источник или комментарий. Не меняйте ID и ключ параметра.</x:v>
      </x:c>
    </x:row>
    <x:row r="5" ht="34" customHeight="1">
      <x:c r="A5" s="43" t="str">
        <x:v>ID</x:v>
      </x:c>
      <x:c r="B5" s="44" t="str">
        <x:v>Блок</x:v>
      </x:c>
      <x:c r="C5" s="44" t="str">
        <x:v>Приоритет</x:v>
      </x:c>
      <x:c r="D5" s="44" t="str">
        <x:v>Вопрос партнеру</x:v>
      </x:c>
      <x:c r="E5" s="44" t="str">
        <x:v>Формат ответа</x:v>
      </x:c>
      <x:c r="F5" s="44" t="str">
        <x:v>Допустимые значения</x:v>
      </x:c>
      <x:c r="G5" s="44" t="str">
        <x:v>Наш текущий ответ</x:v>
      </x:c>
      <x:c r="H5" s="44" t="str">
        <x:v>Статус нашего ответа</x:v>
      </x:c>
      <x:c r="I5" s="44" t="str">
        <x:v>Основание</x:v>
      </x:c>
      <x:c r="J5" s="44" t="str">
        <x:v>Ответ партнера</x:v>
      </x:c>
      <x:c r="K5" s="44" t="str">
        <x:v>Комментарий или источник партнера</x:v>
      </x:c>
      <x:c r="L5" s="44" t="str">
        <x:v>Что изменится в проекте</x:v>
      </x:c>
      <x:c r="M5" s="44" t="str">
        <x:v>Ключ параметра</x:v>
      </x:c>
      <x:c r="N5" s="45" t="str">
        <x:v>Обязательно</x:v>
      </x:c>
    </x:row>
    <x:row r="6" ht="72" customHeight="1">
      <x:c r="A6" s="61" t="str">
        <x:v>Q01</x:v>
      </x:c>
      <x:c r="B6" s="52" t="str">
        <x:v>Спрос и источники</x:v>
      </x:c>
      <x:c r="C6" s="52" t="str">
        <x:v>Критично</x:v>
      </x:c>
      <x:c r="D6" s="52" t="str">
        <x:v>Какой источник является главным для расчета спроса по SKU?</x:v>
      </x:c>
      <x:c r="E6" s="52" t="str">
        <x:v>choice</x:v>
      </x:c>
      <x:c r="F6" s="52" t="str">
        <x:v>Расходные накладные; Месячный отчет; Оба после сверки</x:v>
      </x:c>
      <x:c r="G6" s="52" t="str">
        <x:v>Расходные накладные используются как детальная история отгрузок; месячный отчет применяется для контроля.</x:v>
      </x:c>
      <x:c r="H6" s="52" t="str">
        <x:v>Требует подтверждения</x:v>
      </x:c>
      <x:c r="I6" s="52" t="str">
        <x:v>Точные совпадения между детализацией и месячным отчетом есть только в 37,8% сопоставимых SKU-месяцев.</x:v>
      </x:c>
      <x:c r="J6" s="55" t="str"/>
      <x:c r="K6" s="55" t="str"/>
      <x:c r="L6" s="52" t="str">
        <x:v>Определяет канонический ряд спроса и блокирует расчет при необъясненном расхождении источников.</x:v>
      </x:c>
      <x:c r="M6" s="58" t="str">
        <x:v>demand_source</x:v>
      </x:c>
      <x:c r="N6" s="58" t="str">
        <x:v>Да</x:v>
      </x:c>
    </x:row>
    <x:row r="7" ht="72" customHeight="1">
      <x:c r="A7" s="62" t="str">
        <x:v>Q02</x:v>
      </x:c>
      <x:c r="B7" s="53" t="str">
        <x:v>Спрос и источники</x:v>
      </x:c>
      <x:c r="C7" s="53" t="str">
        <x:v>Критично</x:v>
      </x:c>
      <x:c r="D7" s="53" t="str">
        <x:v>Как трактовать отрицательное количество в продажах?</x:v>
      </x:c>
      <x:c r="E7" s="53" t="str">
        <x:v>choice</x:v>
      </x:c>
      <x:c r="F7" s="53" t="str">
        <x:v>Возврат уменьшает спрос; Исправление документа; Разбирать по типу документа</x:v>
      </x:c>
      <x:c r="G7" s="53" t="str">
        <x:v>Отрицательные значения не увеличивают прогноз и отмечаются для проверки.</x:v>
      </x:c>
      <x:c r="H7" s="53" t="str">
        <x:v>Рабочее допущение</x:v>
      </x:c>
      <x:c r="I7" s="53" t="str">
        <x:v>В месячной истории Systeme Electric найдено 279 отрицательных значений.</x:v>
      </x:c>
      <x:c r="J7" s="56" t="str"/>
      <x:c r="K7" s="56" t="str"/>
      <x:c r="L7" s="53" t="str">
        <x:v>Меняет очистку истории и расчет чистого спроса.</x:v>
      </x:c>
      <x:c r="M7" s="59" t="str">
        <x:v>negative_quantity_policy</x:v>
      </x:c>
      <x:c r="N7" s="59" t="str">
        <x:v>Да</x:v>
      </x:c>
    </x:row>
    <x:row r="8" ht="72" customHeight="1">
      <x:c r="A8" s="62" t="str">
        <x:v>Q03</x:v>
      </x:c>
      <x:c r="B8" s="53" t="str">
        <x:v>Правила поставщика</x:v>
      </x:c>
      <x:c r="C8" s="53" t="str">
        <x:v>Критично</x:v>
      </x:c>
      <x:c r="D8" s="53" t="str">
        <x:v>Что означает поле «Кратность» в справочнике Systeme Electric?</x:v>
      </x:c>
      <x:c r="E8" s="53" t="str">
        <x:v>choice</x:v>
      </x:c>
      <x:c r="F8" s="53" t="str">
        <x:v>Кратность заказа или упаковки; Минимальное количество заказа; Минимальная отгрузка поставщика; Другое</x:v>
      </x:c>
      <x:c r="G8" s="53" t="str">
        <x:v>Используем как кратность округления заказа вверх.</x:v>
      </x:c>
      <x:c r="H8" s="53" t="str">
        <x:v>Требует подтверждения</x:v>
      </x:c>
      <x:c r="I8" s="53" t="str">
        <x:v>Исходный столбец называется «Кратность», а не MOQ.</x:v>
      </x:c>
      <x:c r="J8" s="56" t="str"/>
      <x:c r="K8" s="56" t="str"/>
      <x:c r="L8" s="53" t="str">
        <x:v>Определяет правило округления и необходимость отдельного минимального заказа.</x:v>
      </x:c>
      <x:c r="M8" s="59" t="str">
        <x:v>order_multiple_semantics</x:v>
      </x:c>
      <x:c r="N8" s="59" t="str">
        <x:v>Да</x:v>
      </x:c>
    </x:row>
    <x:row r="9" ht="72" customHeight="1">
      <x:c r="A9" s="62" t="str">
        <x:v>Q04</x:v>
      </x:c>
      <x:c r="B9" s="53" t="str">
        <x:v>Правила поставщика</x:v>
      </x:c>
      <x:c r="C9" s="53" t="str">
        <x:v>Критично</x:v>
      </x:c>
      <x:c r="D9" s="53" t="str">
        <x:v>Сколько календарных дней проходит от размещения заказа до доступности товара для продажи?</x:v>
      </x:c>
      <x:c r="E9" s="53" t="str">
        <x:v>integer; дней</x:v>
      </x:c>
      <x:c r="F9" s="53" t="str">
        <x:v>0–365</x:v>
      </x:c>
      <x:c r="G9" s="53" t="str">
        <x:v>60</x:v>
      </x:c>
      <x:c r="H9" s="53" t="str">
        <x:v>Демо-допущение</x:v>
      </x:c>
      <x:c r="I9" s="53" t="str">
        <x:v>В переданных файлах нет подтвержденного справочника сроков поставки.</x:v>
      </x:c>
      <x:c r="J9" s="56"/>
      <x:c r="K9" s="56" t="str"/>
      <x:c r="L9" s="53" t="str">
        <x:v>Напрямую меняет горизонт покрытия, целевой запас, количество и срочность заказа.</x:v>
      </x:c>
      <x:c r="M9" s="59" t="str">
        <x:v>lead_time_days</x:v>
      </x:c>
      <x:c r="N9" s="59" t="str">
        <x:v>Да</x:v>
      </x:c>
    </x:row>
    <x:row r="10" ht="72" customHeight="1">
      <x:c r="A10" s="62" t="str">
        <x:v>Q05</x:v>
      </x:c>
      <x:c r="B10" s="53" t="str">
        <x:v>Правила поставщика</x:v>
      </x:c>
      <x:c r="C10" s="53" t="str">
        <x:v>Критично</x:v>
      </x:c>
      <x:c r="D10" s="53" t="str">
        <x:v>Как часто компания планирует пересматривать и размещать заказ Systeme Electric?</x:v>
      </x:c>
      <x:c r="E10" s="53" t="str">
        <x:v>integer; дней</x:v>
      </x:c>
      <x:c r="F10" s="53" t="str">
        <x:v>1–180</x:v>
      </x:c>
      <x:c r="G10" s="53" t="str">
        <x:v>30</x:v>
      </x:c>
      <x:c r="H10" s="53" t="str">
        <x:v>Демо-допущение</x:v>
      </x:c>
      <x:c r="I10" s="53" t="str">
        <x:v>Принят месячный цикл только для демонстрации.</x:v>
      </x:c>
      <x:c r="J10" s="56" t="str"/>
      <x:c r="K10" s="56" t="str"/>
      <x:c r="L10" s="53" t="str">
        <x:v>Добавляется к сроку поставки и меняет необходимый горизонт запаса.</x:v>
      </x:c>
      <x:c r="M10" s="59" t="str">
        <x:v>review_period_days</x:v>
      </x:c>
      <x:c r="N10" s="59" t="str">
        <x:v>Да</x:v>
      </x:c>
    </x:row>
    <x:row r="11" ht="72" customHeight="1">
      <x:c r="A11" s="62" t="str">
        <x:v>Q06</x:v>
      </x:c>
      <x:c r="B11" s="53" t="str">
        <x:v>Страховой запас</x:v>
      </x:c>
      <x:c r="C11" s="53" t="str">
        <x:v>Критично</x:v>
      </x:c>
      <x:c r="D11" s="53" t="str">
        <x:v>Сколько дней страхового запаса нужно для категории 1?</x:v>
      </x:c>
      <x:c r="E11" s="53" t="str">
        <x:v>number; дней</x:v>
      </x:c>
      <x:c r="F11" s="53" t="str">
        <x:v>0–180</x:v>
      </x:c>
      <x:c r="G11" s="53" t="str">
        <x:v>30</x:v>
      </x:c>
      <x:c r="H11" s="53" t="str">
        <x:v>Демо-допущение</x:v>
      </x:c>
      <x:c r="I11" s="53" t="str">
        <x:v>Категория 1 формирует основной объем продаж, но ее сервисная политика не передана.</x:v>
      </x:c>
      <x:c r="J11" s="56" t="str"/>
      <x:c r="K11" s="56" t="str"/>
      <x:c r="L11" s="53" t="str">
        <x:v>Меняет целевой запас и заказ всех SKU категории 1.</x:v>
      </x:c>
      <x:c r="M11" s="59" t="str">
        <x:v>safety_stock_category_1</x:v>
      </x:c>
      <x:c r="N11" s="59" t="str">
        <x:v>Да</x:v>
      </x:c>
    </x:row>
    <x:row r="12" ht="72" customHeight="1">
      <x:c r="A12" s="62" t="str">
        <x:v>Q07</x:v>
      </x:c>
      <x:c r="B12" s="53" t="str">
        <x:v>Страховой запас</x:v>
      </x:c>
      <x:c r="C12" s="53" t="str">
        <x:v>Критично</x:v>
      </x:c>
      <x:c r="D12" s="53" t="str">
        <x:v>Сколько дней страхового запаса нужно для категории 2?</x:v>
      </x:c>
      <x:c r="E12" s="53" t="str">
        <x:v>number; дней</x:v>
      </x:c>
      <x:c r="F12" s="53" t="str">
        <x:v>0–180</x:v>
      </x:c>
      <x:c r="G12" s="53" t="str">
        <x:v>25</x:v>
      </x:c>
      <x:c r="H12" s="53" t="str">
        <x:v>Демо-допущение</x:v>
      </x:c>
      <x:c r="I12" s="53" t="str">
        <x:v>Политика страхового запаса не передана.</x:v>
      </x:c>
      <x:c r="J12" s="56" t="str"/>
      <x:c r="K12" s="56" t="str"/>
      <x:c r="L12" s="53" t="str">
        <x:v>Меняет целевой запас и заказ всех SKU категории 2.</x:v>
      </x:c>
      <x:c r="M12" s="59" t="str">
        <x:v>safety_stock_category_2</x:v>
      </x:c>
      <x:c r="N12" s="59" t="str">
        <x:v>Да</x:v>
      </x:c>
    </x:row>
    <x:row r="13" ht="72" customHeight="1">
      <x:c r="A13" s="62" t="str">
        <x:v>Q08</x:v>
      </x:c>
      <x:c r="B13" s="53" t="str">
        <x:v>Страховой запас</x:v>
      </x:c>
      <x:c r="C13" s="53" t="str">
        <x:v>Критично</x:v>
      </x:c>
      <x:c r="D13" s="53" t="str">
        <x:v>Сколько дней страхового запаса нужно для категории 3?</x:v>
      </x:c>
      <x:c r="E13" s="53" t="str">
        <x:v>number; дней</x:v>
      </x:c>
      <x:c r="F13" s="53" t="str">
        <x:v>0–180</x:v>
      </x:c>
      <x:c r="G13" s="53" t="str">
        <x:v>20</x:v>
      </x:c>
      <x:c r="H13" s="53" t="str">
        <x:v>Демо-допущение</x:v>
      </x:c>
      <x:c r="I13" s="53" t="str">
        <x:v>Политика страхового запаса не передана.</x:v>
      </x:c>
      <x:c r="J13" s="56" t="str"/>
      <x:c r="K13" s="56" t="str"/>
      <x:c r="L13" s="53" t="str">
        <x:v>Меняет целевой запас и заказ всех SKU категории 3.</x:v>
      </x:c>
      <x:c r="M13" s="59" t="str">
        <x:v>safety_stock_category_3</x:v>
      </x:c>
      <x:c r="N13" s="59" t="str">
        <x:v>Да</x:v>
      </x:c>
    </x:row>
    <x:row r="14" ht="72" customHeight="1">
      <x:c r="A14" s="62" t="str">
        <x:v>Q09</x:v>
      </x:c>
      <x:c r="B14" s="53" t="str">
        <x:v>Страховой запас</x:v>
      </x:c>
      <x:c r="C14" s="53" t="str">
        <x:v>Важно</x:v>
      </x:c>
      <x:c r="D14" s="53" t="str">
        <x:v>Сколько дней страхового запаса нужно для категории 5?</x:v>
      </x:c>
      <x:c r="E14" s="53" t="str">
        <x:v>number; дней</x:v>
      </x:c>
      <x:c r="F14" s="53" t="str">
        <x:v>0–180</x:v>
      </x:c>
      <x:c r="G14" s="53" t="str">
        <x:v>15</x:v>
      </x:c>
      <x:c r="H14" s="53" t="str">
        <x:v>Демо-допущение</x:v>
      </x:c>
      <x:c r="I14" s="53" t="str">
        <x:v>Категория 5 имеет отдельный профиль и не похожа на последовательный ABC-класс.</x:v>
      </x:c>
      <x:c r="J14" s="56" t="str"/>
      <x:c r="K14" s="56" t="str"/>
      <x:c r="L14" s="53" t="str">
        <x:v>Меняет целевой запас и заказ всех SKU категории 5.</x:v>
      </x:c>
      <x:c r="M14" s="59" t="str">
        <x:v>safety_stock_category_5</x:v>
      </x:c>
      <x:c r="N14" s="59" t="str">
        <x:v>Да</x:v>
      </x:c>
    </x:row>
    <x:row r="15" ht="72" customHeight="1">
      <x:c r="A15" s="62" t="str">
        <x:v>Q10</x:v>
      </x:c>
      <x:c r="B15" s="53" t="str">
        <x:v>Страховой запас</x:v>
      </x:c>
      <x:c r="C15" s="53" t="str">
        <x:v>Важно</x:v>
      </x:c>
      <x:c r="D15" s="53" t="str">
        <x:v>Нужно ли поддерживать страховой запас для категории 7? Если да, сколько дней?</x:v>
      </x:c>
      <x:c r="E15" s="53" t="str">
        <x:v>number; дней</x:v>
      </x:c>
      <x:c r="F15" s="53" t="str">
        <x:v>0–180</x:v>
      </x:c>
      <x:c r="G15" s="53" t="str">
        <x:v>0</x:v>
      </x:c>
      <x:c r="H15" s="53" t="str">
        <x:v>Рабочее допущение</x:v>
      </x:c>
      <x:c r="I15" s="53" t="str">
        <x:v>В текущем срезе семь SKU категории 7 не имели продаж.</x:v>
      </x:c>
      <x:c r="J15" s="56" t="str"/>
      <x:c r="K15" s="56" t="str"/>
      <x:c r="L15" s="53" t="str">
        <x:v>Разрешает или запрещает автоматическое пополнение категории 7.</x:v>
      </x:c>
      <x:c r="M15" s="59" t="str">
        <x:v>safety_stock_category_7</x:v>
      </x:c>
      <x:c r="N15" s="59" t="str">
        <x:v>Да</x:v>
      </x:c>
    </x:row>
    <x:row r="16" ht="72" customHeight="1">
      <x:c r="A16" s="62" t="str">
        <x:v>Q11</x:v>
      </x:c>
      <x:c r="B16" s="53" t="str">
        <x:v>Товарная политика</x:v>
      </x:c>
      <x:c r="C16" s="53" t="str">
        <x:v>Критично</x:v>
      </x:c>
      <x:c r="D16" s="53" t="str">
        <x:v>Что означают категории 1, 2, 3, 5 и 7 и по какому правилу SKU переводится между ними?</x:v>
      </x:c>
      <x:c r="E16" s="53" t="str">
        <x:v>text</x:v>
      </x:c>
      <x:c r="F16" s="53" t="str"/>
      <x:c r="G16" s="53" t="str">
        <x:v>1 выглядит как основной оборот, 2 и 3 — последовательно менее активные, 7 — без продаж; смысл категории 5 не установлен.</x:v>
      </x:c>
      <x:c r="H16" s="53" t="str">
        <x:v>Вывод по данным</x:v>
      </x:c>
      <x:c r="I16" s="53" t="str">
        <x:v>Категории различаются по объему продаж и запасу, но официальная легенда отсутствует.</x:v>
      </x:c>
      <x:c r="J16" s="56" t="str"/>
      <x:c r="K16" s="56" t="str"/>
      <x:c r="L16" s="53" t="str">
        <x:v>Определяет политику страхового запаса, приоритет и правила для новых или выводимых SKU.</x:v>
      </x:c>
      <x:c r="M16" s="59" t="str">
        <x:v>category_legend</x:v>
      </x:c>
      <x:c r="N16" s="59" t="str">
        <x:v>Да</x:v>
      </x:c>
    </x:row>
    <x:row r="17" ht="72" customHeight="1">
      <x:c r="A17" s="62" t="str">
        <x:v>Q12</x:v>
      </x:c>
      <x:c r="B17" s="53" t="str">
        <x:v>Прогноз</x:v>
      </x:c>
      <x:c r="C17" s="53" t="str">
        <x:v>Важно</x:v>
      </x:c>
      <x:c r="D17" s="53" t="str">
        <x:v>Нужно ли применять исходный коэффициент роста к прогнозу заказа?</x:v>
      </x:c>
      <x:c r="E17" s="53" t="str">
        <x:v>boolean</x:v>
      </x:c>
      <x:c r="F17" s="53" t="str">
        <x:v>Да; Нет</x:v>
      </x:c>
      <x:c r="G17" s="53" t="str">
        <x:v>Да, только в демо и с ограничением множителя 0,75–1,50.</x:v>
      </x:c>
      <x:c r="H17" s="53" t="str">
        <x:v>Демо-допущение</x:v>
      </x:c>
      <x:c r="I17" s="53" t="str">
        <x:v>Формула источника: продажи июнь–август 2026 / июнь–август 2025 − 1.</x:v>
      </x:c>
      <x:c r="J17" s="56" t="str"/>
      <x:c r="K17" s="56" t="str"/>
      <x:c r="L17" s="53" t="str">
        <x:v>Включает или отключает множитель роста без изменения исходных данных.</x:v>
      </x:c>
      <x:c r="M17" s="59" t="str">
        <x:v>apply_growth_coefficient</x:v>
      </x:c>
      <x:c r="N17" s="59" t="str">
        <x:v>Да</x:v>
      </x:c>
    </x:row>
    <x:row r="18" ht="72" customHeight="1">
      <x:c r="A18" s="62" t="str">
        <x:v>Q13</x:v>
      </x:c>
      <x:c r="B18" s="53" t="str">
        <x:v>Прогноз</x:v>
      </x:c>
      <x:c r="C18" s="53" t="str">
        <x:v>Важно</x:v>
      </x:c>
      <x:c r="D18" s="53" t="str">
        <x:v>Нужно ли применять исходный коэффициент сезонности к прогнозу заказа?</x:v>
      </x:c>
      <x:c r="E18" s="53" t="str">
        <x:v>boolean</x:v>
      </x:c>
      <x:c r="F18" s="53" t="str">
        <x:v>Да; Нет</x:v>
      </x:c>
      <x:c r="G18" s="53" t="str">
        <x:v>Да, только в демо и с ограничением множителя 0,50–2,00.</x:v>
      </x:c>
      <x:c r="H18" s="53" t="str">
        <x:v>Демо-допущение</x:v>
      </x:c>
      <x:c r="I18" s="53" t="str">
        <x:v>Формула источника: продажи сентябрь–ноябрь 2025 / июнь–август 2025 − 1.</x:v>
      </x:c>
      <x:c r="J18" s="56" t="str"/>
      <x:c r="K18" s="56" t="str"/>
      <x:c r="L18" s="53" t="str">
        <x:v>Включает или отключает сезонный множитель.</x:v>
      </x:c>
      <x:c r="M18" s="59" t="str">
        <x:v>apply_seasonality_coefficient</x:v>
      </x:c>
      <x:c r="N18" s="59" t="str">
        <x:v>Да</x:v>
      </x:c>
    </x:row>
    <x:row r="19" ht="72" customHeight="1">
      <x:c r="A19" s="62" t="str">
        <x:v>Q14</x:v>
      </x:c>
      <x:c r="B19" s="53" t="str">
        <x:v>Остатки и поставки</x:v>
      </x:c>
      <x:c r="C19" s="53" t="str">
        <x:v>Критично</x:v>
      </x:c>
      <x:c r="D19" s="53" t="str">
        <x:v>Что означает дата в заголовке товара в пути?</x:v>
      </x:c>
      <x:c r="E19" s="53" t="str">
        <x:v>choice</x:v>
      </x:c>
      <x:c r="F19" s="53" t="str">
        <x:v>Дата доступности товара для продажи; Дата прибытия в Казахстан; Плановая дата поставщика без гарантии; Другое</x:v>
      </x:c>
      <x:c r="G19" s="53" t="str">
        <x:v>Дата из заголовка трактуется как ожидаемая дата доступности и учитывается внутри горизонта покрытия.</x:v>
      </x:c>
      <x:c r="H19" s="53" t="str">
        <x:v>Требует подтверждения</x:v>
      </x:c>
      <x:c r="I19" s="53" t="str">
        <x:v>Источник содержит поле «СЭ в пути 24.09», но не объясняет смысл даты.</x:v>
      </x:c>
      <x:c r="J19" s="56" t="str"/>
      <x:c r="K19" s="56" t="str"/>
      <x:c r="L19" s="53" t="str">
        <x:v>Решает, можно ли уменьшать заказ на товар в пути или нужно оставить ручную проверку.</x:v>
      </x:c>
      <x:c r="M19" s="59" t="str">
        <x:v>inbound_eta_definition</x:v>
      </x:c>
      <x:c r="N19" s="59" t="str">
        <x:v>Да</x:v>
      </x:c>
    </x:row>
    <x:row r="20" ht="72" customHeight="1">
      <x:c r="A20" s="62" t="str">
        <x:v>Q15</x:v>
      </x:c>
      <x:c r="B20" s="53" t="str">
        <x:v>Остатки и поставки</x:v>
      </x:c>
      <x:c r="C20" s="53" t="str">
        <x:v>Критично</x:v>
      </x:c>
      <x:c r="D20" s="53" t="str">
        <x:v>Какой остаток должен уменьшать потребность в закупке?</x:v>
      </x:c>
      <x:c r="E20" s="53" t="str">
        <x:v>choice</x:v>
      </x:c>
      <x:c r="F20" s="53" t="str">
        <x:v>Остаток минус резерв; Свободный остаток из файла; Свободный остаток плюс витрина и отдельные зоны; Другое</x:v>
      </x:c>
      <x:c r="G20" s="53" t="str">
        <x:v>Остаток минус зарезервированное количество; результат сверяется с полем «Свободный остаток».</x:v>
      </x:c>
      <x:c r="H20" s="53" t="str">
        <x:v>Ответили по данным</x:v>
      </x:c>
      <x:c r="I20" s="53" t="str">
        <x:v>Для 497 SKU загружены остаток, резерв и свободный остаток; по первому SKU расчет совпадает с источником.</x:v>
      </x:c>
      <x:c r="J20" s="56" t="str"/>
      <x:c r="K20" s="56" t="str"/>
      <x:c r="L20" s="53" t="str">
        <x:v>Меняет свободный запас и предотвращает двойной учет складских зон.</x:v>
      </x:c>
      <x:c r="M20" s="59" t="str">
        <x:v>stock_balance_scope</x:v>
      </x:c>
      <x:c r="N20" s="59" t="str">
        <x:v>Да</x:v>
      </x:c>
    </x:row>
    <x:row r="21" ht="72" customHeight="1">
      <x:c r="A21" s="62" t="str">
        <x:v>Q16</x:v>
      </x:c>
      <x:c r="B21" s="53" t="str">
        <x:v>Остатки и поставки</x:v>
      </x:c>
      <x:c r="C21" s="53" t="str">
        <x:v>Важно</x:v>
      </x:c>
      <x:c r="D21" s="53" t="str">
        <x:v>Можно ли выгрузить количество дней отсутствия товара по SKU и месяцам?</x:v>
      </x:c>
      <x:c r="E21" s="53" t="str">
        <x:v>boolean</x:v>
      </x:c>
      <x:c r="F21" s="53" t="str">
        <x:v>Да; Нет</x:v>
      </x:c>
      <x:c r="G21" s="53" t="str">
        <x:v>Нет в переданном наборе.</x:v>
      </x:c>
      <x:c r="H21" s="53" t="str">
        <x:v>Ответили по данным</x:v>
      </x:c>
      <x:c r="I21" s="53" t="str">
        <x:v>История содержит месячные продажи и остатки, но не дни stockout.</x:v>
      </x:c>
      <x:c r="J21" s="56" t="str"/>
      <x:c r="K21" s="56" t="str"/>
      <x:c r="L21" s="53" t="str">
        <x:v>При наличии данных восстанавливает упущенный спрос; без них каждая строка сохраняет предупреждение.</x:v>
      </x:c>
      <x:c r="M21" s="59" t="str">
        <x:v>stockout_history_available</x:v>
      </x:c>
      <x:c r="N21" s="59" t="str">
        <x:v>Да</x:v>
      </x:c>
    </x:row>
    <x:row r="22" ht="72" customHeight="1">
      <x:c r="A22" s="62" t="str">
        <x:v>Q17</x:v>
      </x:c>
      <x:c r="B22" s="53" t="str">
        <x:v>Спрос и источники</x:v>
      </x:c>
      <x:c r="C22" s="53" t="str">
        <x:v>Важно</x:v>
      </x:c>
      <x:c r="D22" s="53" t="str">
        <x:v>Можно ли передавать обезличенные открытые заказы, тендеры и подтвержденные проекты клиентов?</x:v>
      </x:c>
      <x:c r="E22" s="53" t="str">
        <x:v>boolean</x:v>
      </x:c>
      <x:c r="F22" s="53" t="str">
        <x:v>Да; Нет</x:v>
      </x:c>
      <x:c r="G22" s="53" t="str">
        <x:v>Нет в переданном наборе.</x:v>
      </x:c>
      <x:c r="H22" s="53" t="str">
        <x:v>Ответили по данным</x:v>
      </x:c>
      <x:c r="I22" s="53" t="str">
        <x:v>Выгрузка содержит отгрузки без идентификатора клиента и без открытого портфеля заказов.</x:v>
      </x:c>
      <x:c r="J22" s="56" t="str"/>
      <x:c r="K22" s="56" t="str"/>
      <x:c r="L22" s="53" t="str">
        <x:v>Позволяет добавить подтвержденный будущий спрос и точнее выявлять разовые заказы.</x:v>
      </x:c>
      <x:c r="M22" s="59" t="str">
        <x:v>customer_order_pipeline_available</x:v>
      </x:c>
      <x:c r="N22" s="59" t="str">
        <x:v>Да</x:v>
      </x:c>
    </x:row>
    <x:row r="23" ht="72" customHeight="1">
      <x:c r="A23" s="62" t="str">
        <x:v>Q18</x:v>
      </x:c>
      <x:c r="B23" s="53" t="str">
        <x:v>Финансовые ограничения</x:v>
      </x:c>
      <x:c r="C23" s="53" t="str">
        <x:v>Критично</x:v>
      </x:c>
      <x:c r="D23" s="53" t="str">
        <x:v>Какой максимальный бюджет закупки Systeme Electric доступен на один цикл?</x:v>
      </x:c>
      <x:c r="E23" s="53" t="str">
        <x:v>number; KZT</x:v>
      </x:c>
      <x:c r="F23" s="53" t="str">
        <x:v>0–10000000000</x:v>
      </x:c>
      <x:c r="G23" s="53" t="str"/>
      <x:c r="H23" s="53" t="str">
        <x:v>Нет ответа</x:v>
      </x:c>
      <x:c r="I23" s="53" t="str">
        <x:v>В переданных файлах нет лимита бюджета или кредитного лимита.</x:v>
      </x:c>
      <x:c r="J23" s="56" t="str"/>
      <x:c r="K23" s="56" t="str"/>
      <x:c r="L23" s="53" t="str">
        <x:v>Показывает превышение бюджета и запрещает подтверждение заказа выше лимита.</x:v>
      </x:c>
      <x:c r="M23" s="59" t="str">
        <x:v>order_budget_kzt</x:v>
      </x:c>
      <x:c r="N23" s="59" t="str">
        <x:v>Да</x:v>
      </x:c>
    </x:row>
    <x:row r="24" ht="72" customHeight="1">
      <x:c r="A24" s="62" t="str">
        <x:v>Q19</x:v>
      </x:c>
      <x:c r="B24" s="53" t="str">
        <x:v>Финансовые ограничения</x:v>
      </x:c>
      <x:c r="C24" s="53" t="str">
        <x:v>Важно</x:v>
      </x:c>
      <x:c r="D24" s="53" t="str">
        <x:v>Есть ли минимальная общая сумма заказа поставщику?</x:v>
      </x:c>
      <x:c r="E24" s="53" t="str">
        <x:v>number; KZT</x:v>
      </x:c>
      <x:c r="F24" s="53" t="str">
        <x:v>0–10000000000</x:v>
      </x:c>
      <x:c r="G24" s="53" t="str"/>
      <x:c r="H24" s="53" t="str">
        <x:v>Нет ответа</x:v>
      </x:c>
      <x:c r="I24" s="53" t="str">
        <x:v>Условие не содержится в переданных файлах.</x:v>
      </x:c>
      <x:c r="J24" s="56" t="str"/>
      <x:c r="K24" s="56" t="str"/>
      <x:c r="L24" s="53" t="str">
        <x:v>Добавляет проверку минимальной суммы сформированного заказа.</x:v>
      </x:c>
      <x:c r="M24" s="59" t="str">
        <x:v>minimum_total_order_kzt</x:v>
      </x:c>
      <x:c r="N24" s="59" t="str">
        <x:v>Нет</x:v>
      </x:c>
    </x:row>
    <x:row r="25" ht="72" customHeight="1">
      <x:c r="A25" s="62" t="str">
        <x:v>Q20</x:v>
      </x:c>
      <x:c r="B25" s="53" t="str">
        <x:v>Согласование</x:v>
      </x:c>
      <x:c r="C25" s="53" t="str">
        <x:v>Критично</x:v>
      </x:c>
      <x:c r="D25" s="53" t="str">
        <x:v>Разрешена ли автоматическая отправка заказа поставщику?</x:v>
      </x:c>
      <x:c r="E25" s="53" t="str">
        <x:v>choice</x:v>
      </x:c>
      <x:c r="F25" s="53" t="str">
        <x:v>Нет; Только после подтверждения сотрудника; После двух согласований</x:v>
      </x:c>
      <x:c r="G25" s="53" t="str">
        <x:v>Нет. Подтверждение сохраняется локально, поставщику ничего не отправляется.</x:v>
      </x:c>
      <x:c r="H25" s="53" t="str">
        <x:v>Безопасное правило проекта</x:v>
      </x:c>
      <x:c r="I25" s="53" t="str">
        <x:v>В текущем интерфейсе нет автоматической отправки поставщику.</x:v>
      </x:c>
      <x:c r="J25" s="56" t="str"/>
      <x:c r="K25" s="56" t="str"/>
      <x:c r="L25" s="53" t="str">
        <x:v>Сохраняет безопасный ручной контроль и определяет будущий маршрут согласования.</x:v>
      </x:c>
      <x:c r="M25" s="59" t="str">
        <x:v>auto_supplier_send_allowed</x:v>
      </x:c>
      <x:c r="N25" s="59" t="str">
        <x:v>Да</x:v>
      </x:c>
    </x:row>
    <x:row r="26" ht="72" customHeight="1">
      <x:c r="A26" s="63" t="str">
        <x:v>Q21</x:v>
      </x:c>
      <x:c r="B26" s="54" t="str">
        <x:v>Согласование</x:v>
      </x:c>
      <x:c r="C26" s="54" t="str">
        <x:v>Важно</x:v>
      </x:c>
      <x:c r="D26" s="54" t="str">
        <x:v>Кто утверждает заказ и при какой сумме требуется второй согласующий?</x:v>
      </x:c>
      <x:c r="E26" s="54" t="str">
        <x:v>text</x:v>
      </x:c>
      <x:c r="F26" s="54" t="str"/>
      <x:c r="G26" s="54" t="str">
        <x:v>Менеджер может подтвердить позиции только локально; лимиты и роли не определены.</x:v>
      </x:c>
      <x:c r="H26" s="54" t="str">
        <x:v>Частичный ответ</x:v>
      </x:c>
      <x:c r="I26" s="54" t="str">
        <x:v>Проект реализует локальное подтверждение, но не содержит матрицу полномочий.</x:v>
      </x:c>
      <x:c r="J26" s="57" t="str"/>
      <x:c r="K26" s="57" t="str"/>
      <x:c r="L26" s="54" t="str">
        <x:v>Формирует маршрут согласования и блокирует экспорт без нужного уровня подтверждения.</x:v>
      </x:c>
      <x:c r="M26" s="60" t="str">
        <x:v>approval_policy</x:v>
      </x:c>
      <x:c r="N26" s="60" t="str">
        <x:v>Да</x:v>
      </x:c>
    </x:row>
  </x:sheetData>
  <x:mergeCells>
    <x:mergeCell ref="A2:N2"/>
    <x:mergeCell ref="A3:N3"/>
  </x:mergeCells>
  <x:conditionalFormatting sqref="C6:C26">
    <x:cfRule type="expression" dxfId="0" priority="1">
      <x:formula>$C6="Критично"</x:formula>
    </x:cfRule>
  </x:conditionalFormatting>
  <x:conditionalFormatting sqref="J6:J26">
    <x:cfRule type="expression" dxfId="1" priority="2">
      <x:formula>AND($N6="Да",$J6="")</x:formula>
    </x:cfRule>
    <x:cfRule type="expression" dxfId="2" priority="3">
      <x:formula>$J6&lt;&gt;""</x:formula>
    </x:cfRule>
  </x:conditionalFormatting>
  <x:dataValidations count="19">
    <x:dataValidation type="list" sqref="J6">
      <x:formula1>"Расходные накладные,Месячный отчет,Оба после сверки"</x:formula1>
    </x:dataValidation>
    <x:dataValidation type="list" sqref="J7">
      <x:formula1>"Возврат уменьшает спрос,Исправление документа,Разбирать по типу документа"</x:formula1>
    </x:dataValidation>
    <x:dataValidation type="list" sqref="J8">
      <x:formula1>"Кратность заказа или упаковки,Минимальное количество заказа,Минимальная отгрузка поставщика,Другое"</x:formula1>
    </x:dataValidation>
    <x:dataValidation type="whole" operator="between" sqref="J9">
      <x:formula1>0</x:formula1>
      <x:formula2>365</x:formula2>
    </x:dataValidation>
    <x:dataValidation type="whole" operator="between" sqref="J10">
      <x:formula1>1</x:formula1>
      <x:formula2>180</x:formula2>
    </x:dataValidation>
    <x:dataValidation type="decimal" operator="between" sqref="J11">
      <x:formula1>0</x:formula1>
      <x:formula2>180</x:formula2>
    </x:dataValidation>
    <x:dataValidation type="decimal" operator="between" sqref="J12">
      <x:formula1>0</x:formula1>
      <x:formula2>180</x:formula2>
    </x:dataValidation>
    <x:dataValidation type="decimal" operator="between" sqref="J13">
      <x:formula1>0</x:formula1>
      <x:formula2>180</x:formula2>
    </x:dataValidation>
    <x:dataValidation type="decimal" operator="between" sqref="J14">
      <x:formula1>0</x:formula1>
      <x:formula2>180</x:formula2>
    </x:dataValidation>
    <x:dataValidation type="decimal" operator="between" sqref="J15">
      <x:formula1>0</x:formula1>
      <x:formula2>180</x:formula2>
    </x:dataValidation>
    <x:dataValidation type="list" sqref="J17">
      <x:formula1>"Да,Нет"</x:formula1>
    </x:dataValidation>
    <x:dataValidation type="list" sqref="J18">
      <x:formula1>"Да,Нет"</x:formula1>
    </x:dataValidation>
    <x:dataValidation type="list" sqref="J19">
      <x:formula1>"Дата доступности товара для продажи,Дата прибытия в Казахстан,Плановая дата поставщика без гарантии,Другое"</x:formula1>
    </x:dataValidation>
    <x:dataValidation type="list" sqref="J20">
      <x:formula1>"Остаток минус резерв,Свободный остаток из файла,Свободный остаток плюс витрина и отдельные зоны,Другое"</x:formula1>
    </x:dataValidation>
    <x:dataValidation type="list" sqref="J21">
      <x:formula1>"Да,Нет"</x:formula1>
    </x:dataValidation>
    <x:dataValidation type="list" sqref="J22">
      <x:formula1>"Да,Нет"</x:formula1>
    </x:dataValidation>
    <x:dataValidation type="decimal" operator="between" sqref="J23">
      <x:formula1>0</x:formula1>
      <x:formula2>10000000000</x:formula2>
    </x:dataValidation>
    <x:dataValidation type="decimal" operator="between" sqref="J24">
      <x:formula1>0</x:formula1>
      <x:formula2>10000000000</x:formula2>
    </x:dataValidation>
    <x:dataValidation type="list" sqref="J25">
      <x:formula1>"Нет,Только после подтверждения сотрудника,После двух согласований"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b5816223b747b6"/>
  </x:tableParts>
</x:worksheet>
</file>